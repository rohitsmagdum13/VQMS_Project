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8_{C4E4FB78-D817-4FC3-BA6C-D6966CA7E365}" xr6:coauthVersionLast="47" xr6:coauthVersionMax="47" xr10:uidLastSave="{00000000-0000-0000-0000-000000000000}"/>
  <bookViews>
    <workbookView xWindow="28680" yWindow="-3930" windowWidth="29040" windowHeight="15720" xr2:uid="{C06D18AC-C3AC-40F2-BA7D-115B8CAF7A8E}"/>
  </bookViews>
  <sheets>
    <sheet name="sf_contacts_updated" sheetId="1" r:id="rId1"/>
  </sheets>
  <calcPr calcId="0" iterateDelta="1E-4"/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</calcChain>
</file>

<file path=xl/sharedStrings.xml><?xml version="1.0" encoding="utf-8"?>
<sst xmlns="http://schemas.openxmlformats.org/spreadsheetml/2006/main" count="461" uniqueCount="270">
  <si>
    <t>Name</t>
  </si>
  <si>
    <t>Contact_ID__c</t>
  </si>
  <si>
    <t>Account Name</t>
  </si>
  <si>
    <t>Account.Vendor_ID__c</t>
  </si>
  <si>
    <t>FirstName</t>
  </si>
  <si>
    <t>LastName</t>
  </si>
  <si>
    <t>Email</t>
  </si>
  <si>
    <t>Phone</t>
  </si>
  <si>
    <t>Title</t>
  </si>
  <si>
    <t>Contact_Type__c</t>
  </si>
  <si>
    <t>Is_Active__c</t>
  </si>
  <si>
    <t>Sneha Singh</t>
  </si>
  <si>
    <t>VC-001</t>
  </si>
  <si>
    <t>Acme Industrial Supplies</t>
  </si>
  <si>
    <t>V-001</t>
  </si>
  <si>
    <t>Sneha</t>
  </si>
  <si>
    <t>Singh</t>
  </si>
  <si>
    <t>sneha.singh@acmeindustrial.com</t>
  </si>
  <si>
    <t>Accounts Manager</t>
  </si>
  <si>
    <t>PRIMARY</t>
  </si>
  <si>
    <t>Anita Kulkarni</t>
  </si>
  <si>
    <t>VC-002</t>
  </si>
  <si>
    <t>Anita</t>
  </si>
  <si>
    <t>Kulkarni</t>
  </si>
  <si>
    <t>anita.kulkarni@acmeindustrial.com</t>
  </si>
  <si>
    <t>Director</t>
  </si>
  <si>
    <t>SECONDARY</t>
  </si>
  <si>
    <t>Dinesh Chauhan</t>
  </si>
  <si>
    <t>VC-003</t>
  </si>
  <si>
    <t>TechNova Solutions</t>
  </si>
  <si>
    <t>V-002</t>
  </si>
  <si>
    <t>Dinesh</t>
  </si>
  <si>
    <t>Chauhan</t>
  </si>
  <si>
    <t>dinesh.chauhan@technova.io</t>
  </si>
  <si>
    <t>Arjun Shah</t>
  </si>
  <si>
    <t>VC-004</t>
  </si>
  <si>
    <t>Arjun</t>
  </si>
  <si>
    <t>Shah</t>
  </si>
  <si>
    <t>arjun.shah@technova.io</t>
  </si>
  <si>
    <t>Deepak Reddy</t>
  </si>
  <si>
    <t>VC-005</t>
  </si>
  <si>
    <t>SwiftLog Freight</t>
  </si>
  <si>
    <t>V-003</t>
  </si>
  <si>
    <t>Deepak</t>
  </si>
  <si>
    <t>Reddy</t>
  </si>
  <si>
    <t>deepak.reddy@swiftlogfreight.com</t>
  </si>
  <si>
    <t>Pankaj Das</t>
  </si>
  <si>
    <t>VC-006</t>
  </si>
  <si>
    <t>Pankaj</t>
  </si>
  <si>
    <t>Das</t>
  </si>
  <si>
    <t>pankaj.das@swiftlogfreight.com</t>
  </si>
  <si>
    <t>Operations Head</t>
  </si>
  <si>
    <t>Dinesh Malhotra</t>
  </si>
  <si>
    <t>VC-007</t>
  </si>
  <si>
    <t>GreenBuild Facilities</t>
  </si>
  <si>
    <t>V-004</t>
  </si>
  <si>
    <t>Malhotra</t>
  </si>
  <si>
    <t>dinesh.malhotra@greenbuild.co.in</t>
  </si>
  <si>
    <t>Rohit Kapoor</t>
  </si>
  <si>
    <t>VC-008</t>
  </si>
  <si>
    <t>Rohit</t>
  </si>
  <si>
    <t>Kapoor</t>
  </si>
  <si>
    <t>rohit.kapoor@greenbuild.co.in</t>
  </si>
  <si>
    <t>Procurement Lead</t>
  </si>
  <si>
    <t>Harish Tiwari</t>
  </si>
  <si>
    <t>VC-009</t>
  </si>
  <si>
    <t>DataPrime Analytics</t>
  </si>
  <si>
    <t>V-005</t>
  </si>
  <si>
    <t>Harish</t>
  </si>
  <si>
    <t>Tiwari</t>
  </si>
  <si>
    <t>harish.tiwari@dataprime.com</t>
  </si>
  <si>
    <t>Ajay Bhat</t>
  </si>
  <si>
    <t>VC-010</t>
  </si>
  <si>
    <t>Ajay</t>
  </si>
  <si>
    <t>Bhat</t>
  </si>
  <si>
    <t>ajay.bhat@dataprime.com</t>
  </si>
  <si>
    <t>Pooja Singh</t>
  </si>
  <si>
    <t>VC-011</t>
  </si>
  <si>
    <t>OfficeMart India</t>
  </si>
  <si>
    <t>V-006</t>
  </si>
  <si>
    <t>Pooja</t>
  </si>
  <si>
    <t>pooja.singh@officemart.in</t>
  </si>
  <si>
    <t>Swati Sharma</t>
  </si>
  <si>
    <t>VC-012</t>
  </si>
  <si>
    <t>Swati</t>
  </si>
  <si>
    <t>Sharma</t>
  </si>
  <si>
    <t>swati.sharma@officemart.in</t>
  </si>
  <si>
    <t>Manish Sharma</t>
  </si>
  <si>
    <t>VC-013</t>
  </si>
  <si>
    <t>Precision Engineers Ltd</t>
  </si>
  <si>
    <t>V-007</t>
  </si>
  <si>
    <t>Manish</t>
  </si>
  <si>
    <t>manish.sharma@precisioneng.com</t>
  </si>
  <si>
    <t>Sapna Tiwari</t>
  </si>
  <si>
    <t>VC-014</t>
  </si>
  <si>
    <t>Sapna</t>
  </si>
  <si>
    <t>sapna.tiwari@precisioneng.com</t>
  </si>
  <si>
    <t>Sales Manager</t>
  </si>
  <si>
    <t>Vikram Verma</t>
  </si>
  <si>
    <t>VC-015</t>
  </si>
  <si>
    <t>Catalyst Consulting</t>
  </si>
  <si>
    <t>V-008</t>
  </si>
  <si>
    <t>Vikram</t>
  </si>
  <si>
    <t>Verma</t>
  </si>
  <si>
    <t>vikram.verma@catalystconsult.com</t>
  </si>
  <si>
    <t>Vikram Bhat</t>
  </si>
  <si>
    <t>VC-016</t>
  </si>
  <si>
    <t>vikram.bhat@catalystconsult.com</t>
  </si>
  <si>
    <t>Harish Agarwal</t>
  </si>
  <si>
    <t>VC-017</t>
  </si>
  <si>
    <t>NetConnect Telecom</t>
  </si>
  <si>
    <t>V-009</t>
  </si>
  <si>
    <t>Agarwal</t>
  </si>
  <si>
    <t>harish.agarwal@netconnect.co.in</t>
  </si>
  <si>
    <t>Sandeep Patel</t>
  </si>
  <si>
    <t>VC-018</t>
  </si>
  <si>
    <t>Sandeep</t>
  </si>
  <si>
    <t>Patel</t>
  </si>
  <si>
    <t>sandeep.patel@netconnect.co.in</t>
  </si>
  <si>
    <t>Kiran Das</t>
  </si>
  <si>
    <t>VC-019</t>
  </si>
  <si>
    <t>SecureGuard Services</t>
  </si>
  <si>
    <t>V-010</t>
  </si>
  <si>
    <t>Kiran</t>
  </si>
  <si>
    <t>kiran.das@secureguard.in</t>
  </si>
  <si>
    <t>Suresh Deshmukh</t>
  </si>
  <si>
    <t>VC-020</t>
  </si>
  <si>
    <t>Suresh</t>
  </si>
  <si>
    <t>Deshmukh</t>
  </si>
  <si>
    <t>suresh.deshmukh@secureguard.in</t>
  </si>
  <si>
    <t>Shweta Das</t>
  </si>
  <si>
    <t>VC-021</t>
  </si>
  <si>
    <t>SteelCraft Industries</t>
  </si>
  <si>
    <t>V-011</t>
  </si>
  <si>
    <t>Shweta</t>
  </si>
  <si>
    <t>shweta.das@steelcraft.com</t>
  </si>
  <si>
    <t>Yogesh Verma</t>
  </si>
  <si>
    <t>VC-022</t>
  </si>
  <si>
    <t>Yogesh</t>
  </si>
  <si>
    <t>yogesh.verma@steelcraft.com</t>
  </si>
  <si>
    <t>Anjali Malhotra</t>
  </si>
  <si>
    <t>VC-023</t>
  </si>
  <si>
    <t>CloudWave Technologies</t>
  </si>
  <si>
    <t>V-012</t>
  </si>
  <si>
    <t>Anjali</t>
  </si>
  <si>
    <t>anjali.malhotra@cloudwave.io</t>
  </si>
  <si>
    <t>Suresh Singh</t>
  </si>
  <si>
    <t>VC-024</t>
  </si>
  <si>
    <t>suresh.singh@cloudwave.io</t>
  </si>
  <si>
    <t>Sandeep Mishra</t>
  </si>
  <si>
    <t>VC-025</t>
  </si>
  <si>
    <t>RapidShip Logistics</t>
  </si>
  <si>
    <t>V-013</t>
  </si>
  <si>
    <t>Mishra</t>
  </si>
  <si>
    <t>sandeep.mishra@rapidship.in</t>
  </si>
  <si>
    <t>Shweta Joshi</t>
  </si>
  <si>
    <t>VC-026</t>
  </si>
  <si>
    <t>Joshi</t>
  </si>
  <si>
    <t>shweta.joshi@rapidship.in</t>
  </si>
  <si>
    <t>Pooja Kulkarni</t>
  </si>
  <si>
    <t>VC-027</t>
  </si>
  <si>
    <t>CleanSpace Facilities</t>
  </si>
  <si>
    <t>V-014</t>
  </si>
  <si>
    <t>pooja.kulkarni@cleanspace.co.in</t>
  </si>
  <si>
    <t>Jyoti Deshmukh</t>
  </si>
  <si>
    <t>VC-028</t>
  </si>
  <si>
    <t>Jyoti</t>
  </si>
  <si>
    <t>jyoti.deshmukh@cleanspace.co.in</t>
  </si>
  <si>
    <t>Sandeep Sharma</t>
  </si>
  <si>
    <t>VC-029</t>
  </si>
  <si>
    <t>InsightPro Research</t>
  </si>
  <si>
    <t>V-015</t>
  </si>
  <si>
    <t>sandeep.sharma@insightpro.com</t>
  </si>
  <si>
    <t>Dinesh Singh</t>
  </si>
  <si>
    <t>VC-030</t>
  </si>
  <si>
    <t>dinesh.singh@insightpro.com</t>
  </si>
  <si>
    <t>Ritu Agarwal</t>
  </si>
  <si>
    <t>VC-031</t>
  </si>
  <si>
    <t>BulkSupply Traders</t>
  </si>
  <si>
    <t>V-016</t>
  </si>
  <si>
    <t>Ritu</t>
  </si>
  <si>
    <t>ritu.agarwal@bulksupply.in</t>
  </si>
  <si>
    <t>Anjali Verma</t>
  </si>
  <si>
    <t>VC-032</t>
  </si>
  <si>
    <t>anjali.verma@bulksupply.in</t>
  </si>
  <si>
    <t>Rajesh Rao</t>
  </si>
  <si>
    <t>VC-033</t>
  </si>
  <si>
    <t>MetalWorks Fabrication</t>
  </si>
  <si>
    <t>V-017</t>
  </si>
  <si>
    <t>Rajesh</t>
  </si>
  <si>
    <t>Rao</t>
  </si>
  <si>
    <t>rajesh.rao@metalworks.com</t>
  </si>
  <si>
    <t>Nisha Nair</t>
  </si>
  <si>
    <t>VC-034</t>
  </si>
  <si>
    <t>Nisha</t>
  </si>
  <si>
    <t>Nair</t>
  </si>
  <si>
    <t>nisha.nair@metalworks.com</t>
  </si>
  <si>
    <t>Yogesh Chauhan</t>
  </si>
  <si>
    <t>VC-035</t>
  </si>
  <si>
    <t>StratEdge Advisors</t>
  </si>
  <si>
    <t>V-018</t>
  </si>
  <si>
    <t>yogesh.chauhan@stratedge.com</t>
  </si>
  <si>
    <t>Sapna Agarwal</t>
  </si>
  <si>
    <t>VC-036</t>
  </si>
  <si>
    <t>sapna.agarwal@stratedge.com</t>
  </si>
  <si>
    <t>Ashok Gupta</t>
  </si>
  <si>
    <t>VC-037</t>
  </si>
  <si>
    <t>FiberNet Communications</t>
  </si>
  <si>
    <t>V-019</t>
  </si>
  <si>
    <t>Ashok</t>
  </si>
  <si>
    <t>Gupta</t>
  </si>
  <si>
    <t>ashok.gupta@fibernet.co.in</t>
  </si>
  <si>
    <t>Smita Malhotra</t>
  </si>
  <si>
    <t>VC-038</t>
  </si>
  <si>
    <t>Smita</t>
  </si>
  <si>
    <t>smita.malhotra@fibernet.co.in</t>
  </si>
  <si>
    <t>Sneha Verma</t>
  </si>
  <si>
    <t>VC-039</t>
  </si>
  <si>
    <t>ShieldSafe Security</t>
  </si>
  <si>
    <t>V-020</t>
  </si>
  <si>
    <t>sneha.verma@shieldsafe.in</t>
  </si>
  <si>
    <t>Kiran Bhat</t>
  </si>
  <si>
    <t>VC-040</t>
  </si>
  <si>
    <t>kiran.bhat@shieldsafe.in</t>
  </si>
  <si>
    <t>Gaurav Kulkarni</t>
  </si>
  <si>
    <t>VC-041</t>
  </si>
  <si>
    <t>ChemSource Pvt Ltd</t>
  </si>
  <si>
    <t>V-021</t>
  </si>
  <si>
    <t>Gaurav</t>
  </si>
  <si>
    <t>gaurav.kulkarni@chemsource.com</t>
  </si>
  <si>
    <t>Vikram Pandey</t>
  </si>
  <si>
    <t>VC-042</t>
  </si>
  <si>
    <t>Pandey</t>
  </si>
  <si>
    <t>vikram.pandey@chemsource.com</t>
  </si>
  <si>
    <t>Pooja Rao</t>
  </si>
  <si>
    <t>VC-043</t>
  </si>
  <si>
    <t>ByteForge Software</t>
  </si>
  <si>
    <t>V-022</t>
  </si>
  <si>
    <t>pooja.rao@byteforge.io</t>
  </si>
  <si>
    <t>Naveen Singh</t>
  </si>
  <si>
    <t>VC-044</t>
  </si>
  <si>
    <t>Naveen</t>
  </si>
  <si>
    <t>naveen.singh@byteforge.io</t>
  </si>
  <si>
    <t>Anita Das</t>
  </si>
  <si>
    <t>VC-045</t>
  </si>
  <si>
    <t>TransGlobal Shipping</t>
  </si>
  <si>
    <t>V-023</t>
  </si>
  <si>
    <t>anita.das@transglobal.com</t>
  </si>
  <si>
    <t>Smita Thakur</t>
  </si>
  <si>
    <t>VC-046</t>
  </si>
  <si>
    <t>Thakur</t>
  </si>
  <si>
    <t>smita.thakur@transglobal.com</t>
  </si>
  <si>
    <t>Neha Shah</t>
  </si>
  <si>
    <t>VC-047</t>
  </si>
  <si>
    <t>BrightClean Services</t>
  </si>
  <si>
    <t>V-024</t>
  </si>
  <si>
    <t>Neha</t>
  </si>
  <si>
    <t>neha.shah@brightclean.in</t>
  </si>
  <si>
    <t>Pooja Reddy</t>
  </si>
  <si>
    <t>VC-048</t>
  </si>
  <si>
    <t>pooja.reddy@brightclean.in</t>
  </si>
  <si>
    <t>Rekha Mishra</t>
  </si>
  <si>
    <t>VC-049</t>
  </si>
  <si>
    <t>Pinnacle HR Solutions</t>
  </si>
  <si>
    <t>V-025</t>
  </si>
  <si>
    <t>Rekha</t>
  </si>
  <si>
    <t>rekha.mishra@pinnaclehr.com</t>
  </si>
  <si>
    <t>Dinesh Kulkarni</t>
  </si>
  <si>
    <t>VC-050</t>
  </si>
  <si>
    <t>dinesh.kulkarni@pinnaclehr.com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</si>
</sst>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EF5EC-ADF9-47B0-A4CA-8C23F504DAC9}">
  <dimension ref="A1:K5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f>91-9436779490</f>
        <v>-9436779399</v>
      </c>
      <c r="I2" t="s">
        <v>18</v>
      </c>
      <c r="J2" t="s">
        <v>19</v>
      </c>
      <c r="K2" t="b">
        <v>1</v>
      </c>
    </row>
    <row r="3" spans="1:11" x14ac:dyDescent="0.3">
      <c r="A3" t="s">
        <v>20</v>
      </c>
      <c r="B3" t="s">
        <v>21</v>
      </c>
      <c r="C3" t="s">
        <v>13</v>
      </c>
      <c r="D3" t="s">
        <v>14</v>
      </c>
      <c r="E3" t="s">
        <v>22</v>
      </c>
      <c r="F3" t="s">
        <v>23</v>
      </c>
      <c r="G3" t="s">
        <v>24</v>
      </c>
      <c r="H3">
        <f>91-7297265480</f>
        <v>-7297265389</v>
      </c>
      <c r="I3" t="s">
        <v>25</v>
      </c>
      <c r="J3" t="s">
        <v>26</v>
      </c>
      <c r="K3" t="b">
        <v>1</v>
      </c>
    </row>
    <row r="4" spans="1:11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>
        <f>91-7540137296</f>
        <v>-7540137205</v>
      </c>
      <c r="I4" t="s">
        <v>18</v>
      </c>
      <c r="J4" t="s">
        <v>19</v>
      </c>
      <c r="K4" t="b">
        <v>1</v>
      </c>
    </row>
    <row r="5" spans="1:11" x14ac:dyDescent="0.3">
      <c r="A5" t="s">
        <v>34</v>
      </c>
      <c r="B5" t="s">
        <v>35</v>
      </c>
      <c r="C5" t="s">
        <v>29</v>
      </c>
      <c r="D5" t="s">
        <v>30</v>
      </c>
      <c r="E5" t="s">
        <v>36</v>
      </c>
      <c r="F5" t="s">
        <v>37</v>
      </c>
      <c r="G5" t="s">
        <v>38</v>
      </c>
      <c r="H5">
        <f>91-9361388464</f>
        <v>-9361388373</v>
      </c>
      <c r="I5" t="s">
        <v>25</v>
      </c>
      <c r="J5" t="s">
        <v>26</v>
      </c>
      <c r="K5" t="b">
        <v>1</v>
      </c>
    </row>
    <row r="6" spans="1:11" x14ac:dyDescent="0.3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>
        <f>91-9266341635</f>
        <v>-9266341544</v>
      </c>
      <c r="I6" t="s">
        <v>18</v>
      </c>
      <c r="J6" t="s">
        <v>19</v>
      </c>
      <c r="K6" t="b">
        <v>1</v>
      </c>
    </row>
    <row r="7" spans="1:11" x14ac:dyDescent="0.3">
      <c r="A7" t="s">
        <v>46</v>
      </c>
      <c r="B7" t="s">
        <v>47</v>
      </c>
      <c r="C7" t="s">
        <v>41</v>
      </c>
      <c r="D7" t="s">
        <v>42</v>
      </c>
      <c r="E7" t="s">
        <v>48</v>
      </c>
      <c r="F7" t="s">
        <v>49</v>
      </c>
      <c r="G7" t="s">
        <v>50</v>
      </c>
      <c r="H7">
        <f>91-9316259067</f>
        <v>-9316258976</v>
      </c>
      <c r="I7" t="s">
        <v>51</v>
      </c>
      <c r="J7" t="s">
        <v>26</v>
      </c>
      <c r="K7" t="b">
        <v>1</v>
      </c>
    </row>
    <row r="8" spans="1:11" x14ac:dyDescent="0.3">
      <c r="A8" t="s">
        <v>52</v>
      </c>
      <c r="B8" t="s">
        <v>53</v>
      </c>
      <c r="C8" t="s">
        <v>54</v>
      </c>
      <c r="D8" t="s">
        <v>55</v>
      </c>
      <c r="E8" t="s">
        <v>31</v>
      </c>
      <c r="F8" t="s">
        <v>56</v>
      </c>
      <c r="G8" t="s">
        <v>57</v>
      </c>
      <c r="H8">
        <f>91-9962958940</f>
        <v>-9962958849</v>
      </c>
      <c r="I8" t="s">
        <v>18</v>
      </c>
      <c r="J8" t="s">
        <v>19</v>
      </c>
      <c r="K8" t="b">
        <v>1</v>
      </c>
    </row>
    <row r="9" spans="1:11" x14ac:dyDescent="0.3">
      <c r="A9" t="s">
        <v>58</v>
      </c>
      <c r="B9" t="s">
        <v>59</v>
      </c>
      <c r="C9" t="s">
        <v>54</v>
      </c>
      <c r="D9" t="s">
        <v>55</v>
      </c>
      <c r="E9" t="s">
        <v>60</v>
      </c>
      <c r="F9" t="s">
        <v>61</v>
      </c>
      <c r="G9" t="s">
        <v>62</v>
      </c>
      <c r="H9">
        <f>91-8713658874</f>
        <v>-8713658783</v>
      </c>
      <c r="I9" t="s">
        <v>63</v>
      </c>
      <c r="J9" t="s">
        <v>26</v>
      </c>
      <c r="K9" t="b">
        <v>1</v>
      </c>
    </row>
    <row r="10" spans="1:11" x14ac:dyDescent="0.3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>
        <f>91-8603828849</f>
        <v>-8603828758</v>
      </c>
      <c r="I10" t="s">
        <v>18</v>
      </c>
      <c r="J10" t="s">
        <v>19</v>
      </c>
      <c r="K10" t="b">
        <v>1</v>
      </c>
    </row>
    <row r="11" spans="1:11" x14ac:dyDescent="0.3">
      <c r="A11" t="s">
        <v>71</v>
      </c>
      <c r="B11" t="s">
        <v>72</v>
      </c>
      <c r="C11" t="s">
        <v>66</v>
      </c>
      <c r="D11" t="s">
        <v>67</v>
      </c>
      <c r="E11" t="s">
        <v>73</v>
      </c>
      <c r="F11" t="s">
        <v>74</v>
      </c>
      <c r="G11" t="s">
        <v>75</v>
      </c>
      <c r="H11">
        <f>91-7519709079</f>
        <v>-7519708988</v>
      </c>
      <c r="I11" t="s">
        <v>25</v>
      </c>
      <c r="J11" t="s">
        <v>26</v>
      </c>
      <c r="K11" t="b">
        <v>1</v>
      </c>
    </row>
    <row r="12" spans="1:11" x14ac:dyDescent="0.3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16</v>
      </c>
      <c r="G12" t="s">
        <v>81</v>
      </c>
      <c r="H12">
        <f>91-7274989148</f>
        <v>-7274989057</v>
      </c>
      <c r="I12" t="s">
        <v>18</v>
      </c>
      <c r="J12" t="s">
        <v>19</v>
      </c>
      <c r="K12" t="b">
        <v>1</v>
      </c>
    </row>
    <row r="13" spans="1:11" x14ac:dyDescent="0.3">
      <c r="A13" t="s">
        <v>82</v>
      </c>
      <c r="B13" t="s">
        <v>83</v>
      </c>
      <c r="C13" t="s">
        <v>78</v>
      </c>
      <c r="D13" t="s">
        <v>79</v>
      </c>
      <c r="E13" t="s">
        <v>84</v>
      </c>
      <c r="F13" t="s">
        <v>85</v>
      </c>
      <c r="G13" t="s">
        <v>86</v>
      </c>
      <c r="H13">
        <f>91-9527331058</f>
        <v>-9527330967</v>
      </c>
      <c r="I13" t="s">
        <v>51</v>
      </c>
      <c r="J13" t="s">
        <v>26</v>
      </c>
      <c r="K13" t="b">
        <v>1</v>
      </c>
    </row>
    <row r="14" spans="1:11" x14ac:dyDescent="0.3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85</v>
      </c>
      <c r="G14" t="s">
        <v>92</v>
      </c>
      <c r="H14">
        <f>91-7304912982</f>
        <v>-7304912891</v>
      </c>
      <c r="I14" t="s">
        <v>18</v>
      </c>
      <c r="J14" t="s">
        <v>19</v>
      </c>
      <c r="K14" t="b">
        <v>1</v>
      </c>
    </row>
    <row r="15" spans="1:11" x14ac:dyDescent="0.3">
      <c r="A15" t="s">
        <v>93</v>
      </c>
      <c r="B15" t="s">
        <v>94</v>
      </c>
      <c r="C15" t="s">
        <v>89</v>
      </c>
      <c r="D15" t="s">
        <v>90</v>
      </c>
      <c r="E15" t="s">
        <v>95</v>
      </c>
      <c r="F15" t="s">
        <v>69</v>
      </c>
      <c r="G15" t="s">
        <v>96</v>
      </c>
      <c r="H15">
        <f>91-7983297492</f>
        <v>-7983297401</v>
      </c>
      <c r="I15" t="s">
        <v>97</v>
      </c>
      <c r="J15" t="s">
        <v>26</v>
      </c>
      <c r="K15" t="b">
        <v>1</v>
      </c>
    </row>
    <row r="16" spans="1:11" x14ac:dyDescent="0.3">
      <c r="A16" t="s">
        <v>98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>
        <f>91-8419179580</f>
        <v>-8419179489</v>
      </c>
      <c r="I16" t="s">
        <v>18</v>
      </c>
      <c r="J16" t="s">
        <v>19</v>
      </c>
      <c r="K16" t="b">
        <v>1</v>
      </c>
    </row>
    <row r="17" spans="1:11" x14ac:dyDescent="0.3">
      <c r="A17" t="s">
        <v>105</v>
      </c>
      <c r="B17" t="s">
        <v>106</v>
      </c>
      <c r="C17" t="s">
        <v>100</v>
      </c>
      <c r="D17" t="s">
        <v>101</v>
      </c>
      <c r="E17" t="s">
        <v>102</v>
      </c>
      <c r="F17" t="s">
        <v>74</v>
      </c>
      <c r="G17" t="s">
        <v>107</v>
      </c>
      <c r="H17">
        <f>91-8196050747</f>
        <v>-8196050656</v>
      </c>
      <c r="I17" t="s">
        <v>51</v>
      </c>
      <c r="J17" t="s">
        <v>26</v>
      </c>
      <c r="K17" t="b">
        <v>1</v>
      </c>
    </row>
    <row r="18" spans="1:11" x14ac:dyDescent="0.3">
      <c r="A18" t="s">
        <v>108</v>
      </c>
      <c r="B18" t="s">
        <v>109</v>
      </c>
      <c r="C18" t="s">
        <v>110</v>
      </c>
      <c r="D18" t="s">
        <v>111</v>
      </c>
      <c r="E18" t="s">
        <v>68</v>
      </c>
      <c r="F18" t="s">
        <v>112</v>
      </c>
      <c r="G18" t="s">
        <v>113</v>
      </c>
      <c r="H18">
        <f>91-7920140090</f>
        <v>-7920139999</v>
      </c>
      <c r="I18" t="s">
        <v>18</v>
      </c>
      <c r="J18" t="s">
        <v>19</v>
      </c>
      <c r="K18" t="b">
        <v>1</v>
      </c>
    </row>
    <row r="19" spans="1:11" x14ac:dyDescent="0.3">
      <c r="A19" t="s">
        <v>114</v>
      </c>
      <c r="B19" t="s">
        <v>115</v>
      </c>
      <c r="C19" t="s">
        <v>110</v>
      </c>
      <c r="D19" t="s">
        <v>111</v>
      </c>
      <c r="E19" t="s">
        <v>116</v>
      </c>
      <c r="F19" t="s">
        <v>117</v>
      </c>
      <c r="G19" t="s">
        <v>118</v>
      </c>
      <c r="H19">
        <f>91-8043665192</f>
        <v>-8043665101</v>
      </c>
      <c r="I19" t="s">
        <v>25</v>
      </c>
      <c r="J19" t="s">
        <v>26</v>
      </c>
      <c r="K19" t="b">
        <v>1</v>
      </c>
    </row>
    <row r="20" spans="1:11" x14ac:dyDescent="0.3">
      <c r="A20" t="s">
        <v>119</v>
      </c>
      <c r="B20" t="s">
        <v>120</v>
      </c>
      <c r="C20" t="s">
        <v>121</v>
      </c>
      <c r="D20" t="s">
        <v>122</v>
      </c>
      <c r="E20" t="s">
        <v>123</v>
      </c>
      <c r="F20" t="s">
        <v>49</v>
      </c>
      <c r="G20" t="s">
        <v>124</v>
      </c>
      <c r="H20">
        <f>91-7817804383</f>
        <v>-7817804292</v>
      </c>
      <c r="I20" t="s">
        <v>18</v>
      </c>
      <c r="J20" t="s">
        <v>19</v>
      </c>
      <c r="K20" t="b">
        <v>1</v>
      </c>
    </row>
    <row r="21" spans="1:11" x14ac:dyDescent="0.3">
      <c r="A21" t="s">
        <v>125</v>
      </c>
      <c r="B21" t="s">
        <v>126</v>
      </c>
      <c r="C21" t="s">
        <v>121</v>
      </c>
      <c r="D21" t="s">
        <v>122</v>
      </c>
      <c r="E21" t="s">
        <v>127</v>
      </c>
      <c r="F21" t="s">
        <v>128</v>
      </c>
      <c r="G21" t="s">
        <v>129</v>
      </c>
      <c r="H21">
        <f>91-8521696479</f>
        <v>-8521696388</v>
      </c>
      <c r="I21" t="s">
        <v>25</v>
      </c>
      <c r="J21" t="s">
        <v>26</v>
      </c>
      <c r="K21" t="b">
        <v>1</v>
      </c>
    </row>
    <row r="22" spans="1:11" x14ac:dyDescent="0.3">
      <c r="A22" t="s">
        <v>130</v>
      </c>
      <c r="B22" t="s">
        <v>131</v>
      </c>
      <c r="C22" t="s">
        <v>132</v>
      </c>
      <c r="D22" t="s">
        <v>133</v>
      </c>
      <c r="E22" t="s">
        <v>134</v>
      </c>
      <c r="F22" t="s">
        <v>49</v>
      </c>
      <c r="G22" t="s">
        <v>135</v>
      </c>
      <c r="H22">
        <f>91-9005855667</f>
        <v>-9005855576</v>
      </c>
      <c r="I22" t="s">
        <v>18</v>
      </c>
      <c r="J22" t="s">
        <v>19</v>
      </c>
      <c r="K22" t="b">
        <v>1</v>
      </c>
    </row>
    <row r="23" spans="1:11" x14ac:dyDescent="0.3">
      <c r="A23" t="s">
        <v>136</v>
      </c>
      <c r="B23" t="s">
        <v>137</v>
      </c>
      <c r="C23" t="s">
        <v>132</v>
      </c>
      <c r="D23" t="s">
        <v>133</v>
      </c>
      <c r="E23" t="s">
        <v>138</v>
      </c>
      <c r="F23" t="s">
        <v>103</v>
      </c>
      <c r="G23" t="s">
        <v>139</v>
      </c>
      <c r="H23">
        <f>91-7260329455</f>
        <v>-7260329364</v>
      </c>
      <c r="I23" t="s">
        <v>97</v>
      </c>
      <c r="J23" t="s">
        <v>26</v>
      </c>
      <c r="K23" t="b">
        <v>1</v>
      </c>
    </row>
    <row r="24" spans="1:11" x14ac:dyDescent="0.3">
      <c r="A24" t="s">
        <v>140</v>
      </c>
      <c r="B24" t="s">
        <v>141</v>
      </c>
      <c r="C24" t="s">
        <v>142</v>
      </c>
      <c r="D24" t="s">
        <v>143</v>
      </c>
      <c r="E24" t="s">
        <v>144</v>
      </c>
      <c r="F24" t="s">
        <v>56</v>
      </c>
      <c r="G24" t="s">
        <v>145</v>
      </c>
      <c r="H24">
        <f>91-8457293575</f>
        <v>-8457293484</v>
      </c>
      <c r="I24" t="s">
        <v>18</v>
      </c>
      <c r="J24" t="s">
        <v>19</v>
      </c>
      <c r="K24" t="b">
        <v>1</v>
      </c>
    </row>
    <row r="25" spans="1:11" x14ac:dyDescent="0.3">
      <c r="A25" t="s">
        <v>146</v>
      </c>
      <c r="B25" t="s">
        <v>147</v>
      </c>
      <c r="C25" t="s">
        <v>142</v>
      </c>
      <c r="D25" t="s">
        <v>143</v>
      </c>
      <c r="E25" t="s">
        <v>127</v>
      </c>
      <c r="F25" t="s">
        <v>16</v>
      </c>
      <c r="G25" t="s">
        <v>148</v>
      </c>
      <c r="H25">
        <f>91-7816941039</f>
        <v>-7816940948</v>
      </c>
      <c r="I25" t="s">
        <v>51</v>
      </c>
      <c r="J25" t="s">
        <v>26</v>
      </c>
      <c r="K25" t="b">
        <v>1</v>
      </c>
    </row>
    <row r="26" spans="1:11" x14ac:dyDescent="0.3">
      <c r="A26" t="s">
        <v>149</v>
      </c>
      <c r="B26" t="s">
        <v>150</v>
      </c>
      <c r="C26" t="s">
        <v>151</v>
      </c>
      <c r="D26" t="s">
        <v>152</v>
      </c>
      <c r="E26" t="s">
        <v>116</v>
      </c>
      <c r="F26" t="s">
        <v>153</v>
      </c>
      <c r="G26" t="s">
        <v>154</v>
      </c>
      <c r="H26">
        <f>91-7602078388</f>
        <v>-7602078297</v>
      </c>
      <c r="I26" t="s">
        <v>18</v>
      </c>
      <c r="J26" t="s">
        <v>19</v>
      </c>
      <c r="K26" t="b">
        <v>1</v>
      </c>
    </row>
    <row r="27" spans="1:11" x14ac:dyDescent="0.3">
      <c r="A27" t="s">
        <v>155</v>
      </c>
      <c r="B27" t="s">
        <v>156</v>
      </c>
      <c r="C27" t="s">
        <v>151</v>
      </c>
      <c r="D27" t="s">
        <v>152</v>
      </c>
      <c r="E27" t="s">
        <v>134</v>
      </c>
      <c r="F27" t="s">
        <v>157</v>
      </c>
      <c r="G27" t="s">
        <v>158</v>
      </c>
      <c r="H27">
        <f>91-8986972437</f>
        <v>-8986972346</v>
      </c>
      <c r="I27" t="s">
        <v>63</v>
      </c>
      <c r="J27" t="s">
        <v>26</v>
      </c>
      <c r="K27" t="b">
        <v>1</v>
      </c>
    </row>
    <row r="28" spans="1:11" x14ac:dyDescent="0.3">
      <c r="A28" t="s">
        <v>159</v>
      </c>
      <c r="B28" t="s">
        <v>160</v>
      </c>
      <c r="C28" t="s">
        <v>161</v>
      </c>
      <c r="D28" t="s">
        <v>162</v>
      </c>
      <c r="E28" t="s">
        <v>80</v>
      </c>
      <c r="F28" t="s">
        <v>23</v>
      </c>
      <c r="G28" t="s">
        <v>163</v>
      </c>
      <c r="H28">
        <f>91-8903232052</f>
        <v>-8903231961</v>
      </c>
      <c r="I28" t="s">
        <v>18</v>
      </c>
      <c r="J28" t="s">
        <v>19</v>
      </c>
      <c r="K28" t="b">
        <v>1</v>
      </c>
    </row>
    <row r="29" spans="1:11" x14ac:dyDescent="0.3">
      <c r="A29" t="s">
        <v>164</v>
      </c>
      <c r="B29" t="s">
        <v>165</v>
      </c>
      <c r="C29" t="s">
        <v>161</v>
      </c>
      <c r="D29" t="s">
        <v>162</v>
      </c>
      <c r="E29" t="s">
        <v>166</v>
      </c>
      <c r="F29" t="s">
        <v>128</v>
      </c>
      <c r="G29" t="s">
        <v>167</v>
      </c>
      <c r="H29">
        <f>91-9800940984</f>
        <v>-9800940893</v>
      </c>
      <c r="I29" t="s">
        <v>97</v>
      </c>
      <c r="J29" t="s">
        <v>26</v>
      </c>
      <c r="K29" t="b">
        <v>1</v>
      </c>
    </row>
    <row r="30" spans="1:11" x14ac:dyDescent="0.3">
      <c r="A30" t="s">
        <v>168</v>
      </c>
      <c r="B30" t="s">
        <v>169</v>
      </c>
      <c r="C30" t="s">
        <v>170</v>
      </c>
      <c r="D30" t="s">
        <v>171</v>
      </c>
      <c r="E30" t="s">
        <v>116</v>
      </c>
      <c r="F30" t="s">
        <v>85</v>
      </c>
      <c r="G30" t="s">
        <v>172</v>
      </c>
      <c r="H30">
        <f>91-7400560567</f>
        <v>-7400560476</v>
      </c>
      <c r="I30" t="s">
        <v>18</v>
      </c>
      <c r="J30" t="s">
        <v>19</v>
      </c>
      <c r="K30" t="b">
        <v>1</v>
      </c>
    </row>
    <row r="31" spans="1:11" x14ac:dyDescent="0.3">
      <c r="A31" t="s">
        <v>173</v>
      </c>
      <c r="B31" t="s">
        <v>174</v>
      </c>
      <c r="C31" t="s">
        <v>170</v>
      </c>
      <c r="D31" t="s">
        <v>171</v>
      </c>
      <c r="E31" t="s">
        <v>31</v>
      </c>
      <c r="F31" t="s">
        <v>16</v>
      </c>
      <c r="G31" t="s">
        <v>175</v>
      </c>
      <c r="H31">
        <f>91-8745535098</f>
        <v>-8745535007</v>
      </c>
      <c r="I31" t="s">
        <v>51</v>
      </c>
      <c r="J31" t="s">
        <v>26</v>
      </c>
      <c r="K31" t="b">
        <v>1</v>
      </c>
    </row>
    <row r="32" spans="1:11" x14ac:dyDescent="0.3">
      <c r="A32" t="s">
        <v>176</v>
      </c>
      <c r="B32" t="s">
        <v>177</v>
      </c>
      <c r="C32" t="s">
        <v>178</v>
      </c>
      <c r="D32" t="s">
        <v>179</v>
      </c>
      <c r="E32" t="s">
        <v>180</v>
      </c>
      <c r="F32" t="s">
        <v>112</v>
      </c>
      <c r="G32" t="s">
        <v>181</v>
      </c>
      <c r="H32">
        <f>91-7918037633</f>
        <v>-7918037542</v>
      </c>
      <c r="I32" t="s">
        <v>18</v>
      </c>
      <c r="J32" t="s">
        <v>19</v>
      </c>
      <c r="K32" t="b">
        <v>1</v>
      </c>
    </row>
    <row r="33" spans="1:11" x14ac:dyDescent="0.3">
      <c r="A33" t="s">
        <v>182</v>
      </c>
      <c r="B33" t="s">
        <v>183</v>
      </c>
      <c r="C33" t="s">
        <v>178</v>
      </c>
      <c r="D33" t="s">
        <v>179</v>
      </c>
      <c r="E33" t="s">
        <v>144</v>
      </c>
      <c r="F33" t="s">
        <v>103</v>
      </c>
      <c r="G33" t="s">
        <v>184</v>
      </c>
      <c r="H33">
        <f>91-8627677155</f>
        <v>-8627677064</v>
      </c>
      <c r="I33" t="s">
        <v>51</v>
      </c>
      <c r="J33" t="s">
        <v>26</v>
      </c>
      <c r="K33" t="b">
        <v>1</v>
      </c>
    </row>
    <row r="34" spans="1:11" x14ac:dyDescent="0.3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  <c r="G34" t="s">
        <v>191</v>
      </c>
      <c r="H34">
        <f>91-8139038460</f>
        <v>-8139038369</v>
      </c>
      <c r="I34" t="s">
        <v>18</v>
      </c>
      <c r="J34" t="s">
        <v>19</v>
      </c>
      <c r="K34" t="b">
        <v>1</v>
      </c>
    </row>
    <row r="35" spans="1:11" x14ac:dyDescent="0.3">
      <c r="A35" t="s">
        <v>192</v>
      </c>
      <c r="B35" t="s">
        <v>193</v>
      </c>
      <c r="C35" t="s">
        <v>187</v>
      </c>
      <c r="D35" t="s">
        <v>188</v>
      </c>
      <c r="E35" t="s">
        <v>194</v>
      </c>
      <c r="F35" t="s">
        <v>195</v>
      </c>
      <c r="G35" t="s">
        <v>196</v>
      </c>
      <c r="H35">
        <f>91-9991837720</f>
        <v>-9991837629</v>
      </c>
      <c r="I35" t="s">
        <v>25</v>
      </c>
      <c r="J35" t="s">
        <v>26</v>
      </c>
      <c r="K35" t="b">
        <v>1</v>
      </c>
    </row>
    <row r="36" spans="1:11" x14ac:dyDescent="0.3">
      <c r="A36" t="s">
        <v>197</v>
      </c>
      <c r="B36" t="s">
        <v>198</v>
      </c>
      <c r="C36" t="s">
        <v>199</v>
      </c>
      <c r="D36" t="s">
        <v>200</v>
      </c>
      <c r="E36" t="s">
        <v>138</v>
      </c>
      <c r="F36" t="s">
        <v>32</v>
      </c>
      <c r="G36" t="s">
        <v>201</v>
      </c>
      <c r="H36">
        <f>91-9842715617</f>
        <v>-9842715526</v>
      </c>
      <c r="I36" t="s">
        <v>18</v>
      </c>
      <c r="J36" t="s">
        <v>19</v>
      </c>
      <c r="K36" t="b">
        <v>1</v>
      </c>
    </row>
    <row r="37" spans="1:11" x14ac:dyDescent="0.3">
      <c r="A37" t="s">
        <v>202</v>
      </c>
      <c r="B37" t="s">
        <v>203</v>
      </c>
      <c r="C37" t="s">
        <v>199</v>
      </c>
      <c r="D37" t="s">
        <v>200</v>
      </c>
      <c r="E37" t="s">
        <v>95</v>
      </c>
      <c r="F37" t="s">
        <v>112</v>
      </c>
      <c r="G37" t="s">
        <v>204</v>
      </c>
      <c r="H37">
        <f>91-7815605132</f>
        <v>-7815605041</v>
      </c>
      <c r="I37" t="s">
        <v>51</v>
      </c>
      <c r="J37" t="s">
        <v>26</v>
      </c>
      <c r="K37" t="b">
        <v>1</v>
      </c>
    </row>
    <row r="38" spans="1:11" x14ac:dyDescent="0.3">
      <c r="A38" t="s">
        <v>205</v>
      </c>
      <c r="B38" t="s">
        <v>206</v>
      </c>
      <c r="C38" t="s">
        <v>207</v>
      </c>
      <c r="D38" t="s">
        <v>208</v>
      </c>
      <c r="E38" t="s">
        <v>209</v>
      </c>
      <c r="F38" t="s">
        <v>210</v>
      </c>
      <c r="G38" t="s">
        <v>211</v>
      </c>
      <c r="H38">
        <f>91-7251183830</f>
        <v>-7251183739</v>
      </c>
      <c r="I38" t="s">
        <v>18</v>
      </c>
      <c r="J38" t="s">
        <v>19</v>
      </c>
      <c r="K38" t="b">
        <v>1</v>
      </c>
    </row>
    <row r="39" spans="1:11" x14ac:dyDescent="0.3">
      <c r="A39" t="s">
        <v>212</v>
      </c>
      <c r="B39" t="s">
        <v>213</v>
      </c>
      <c r="C39" t="s">
        <v>207</v>
      </c>
      <c r="D39" t="s">
        <v>208</v>
      </c>
      <c r="E39" t="s">
        <v>214</v>
      </c>
      <c r="F39" t="s">
        <v>56</v>
      </c>
      <c r="G39" t="s">
        <v>215</v>
      </c>
      <c r="H39">
        <f>91-8346922426</f>
        <v>-8346922335</v>
      </c>
      <c r="I39" t="s">
        <v>97</v>
      </c>
      <c r="J39" t="s">
        <v>26</v>
      </c>
      <c r="K39" t="b">
        <v>1</v>
      </c>
    </row>
    <row r="40" spans="1:11" x14ac:dyDescent="0.3">
      <c r="A40" t="s">
        <v>216</v>
      </c>
      <c r="B40" t="s">
        <v>217</v>
      </c>
      <c r="C40" t="s">
        <v>218</v>
      </c>
      <c r="D40" t="s">
        <v>219</v>
      </c>
      <c r="E40" t="s">
        <v>15</v>
      </c>
      <c r="F40" t="s">
        <v>103</v>
      </c>
      <c r="G40" t="s">
        <v>220</v>
      </c>
      <c r="H40">
        <f>91-9509023674</f>
        <v>-9509023583</v>
      </c>
      <c r="I40" t="s">
        <v>18</v>
      </c>
      <c r="J40" t="s">
        <v>19</v>
      </c>
      <c r="K40" t="b">
        <v>1</v>
      </c>
    </row>
    <row r="41" spans="1:11" x14ac:dyDescent="0.3">
      <c r="A41" t="s">
        <v>221</v>
      </c>
      <c r="B41" t="s">
        <v>222</v>
      </c>
      <c r="C41" t="s">
        <v>218</v>
      </c>
      <c r="D41" t="s">
        <v>219</v>
      </c>
      <c r="E41" t="s">
        <v>123</v>
      </c>
      <c r="F41" t="s">
        <v>74</v>
      </c>
      <c r="G41" t="s">
        <v>223</v>
      </c>
      <c r="H41">
        <f>91-7244295904</f>
        <v>-7244295813</v>
      </c>
      <c r="I41" t="s">
        <v>51</v>
      </c>
      <c r="J41" t="s">
        <v>26</v>
      </c>
      <c r="K41" t="b">
        <v>1</v>
      </c>
    </row>
    <row r="42" spans="1:11" x14ac:dyDescent="0.3">
      <c r="A42" t="s">
        <v>224</v>
      </c>
      <c r="B42" t="s">
        <v>225</v>
      </c>
      <c r="C42" t="s">
        <v>226</v>
      </c>
      <c r="D42" t="s">
        <v>227</v>
      </c>
      <c r="E42" t="s">
        <v>228</v>
      </c>
      <c r="F42" t="s">
        <v>23</v>
      </c>
      <c r="G42" t="s">
        <v>229</v>
      </c>
      <c r="H42">
        <f>91-7798112150</f>
        <v>-7798112059</v>
      </c>
      <c r="I42" t="s">
        <v>18</v>
      </c>
      <c r="J42" t="s">
        <v>19</v>
      </c>
      <c r="K42" t="b">
        <v>1</v>
      </c>
    </row>
    <row r="43" spans="1:11" x14ac:dyDescent="0.3">
      <c r="A43" t="s">
        <v>230</v>
      </c>
      <c r="B43" t="s">
        <v>231</v>
      </c>
      <c r="C43" t="s">
        <v>226</v>
      </c>
      <c r="D43" t="s">
        <v>227</v>
      </c>
      <c r="E43" t="s">
        <v>102</v>
      </c>
      <c r="F43" t="s">
        <v>232</v>
      </c>
      <c r="G43" t="s">
        <v>233</v>
      </c>
      <c r="H43">
        <f>91-9900015820</f>
        <v>-9900015729</v>
      </c>
      <c r="I43" t="s">
        <v>97</v>
      </c>
      <c r="J43" t="s">
        <v>26</v>
      </c>
      <c r="K43" t="b">
        <v>1</v>
      </c>
    </row>
    <row r="44" spans="1:11" x14ac:dyDescent="0.3">
      <c r="A44" t="s">
        <v>234</v>
      </c>
      <c r="B44" t="s">
        <v>235</v>
      </c>
      <c r="C44" t="s">
        <v>236</v>
      </c>
      <c r="D44" t="s">
        <v>237</v>
      </c>
      <c r="E44" t="s">
        <v>80</v>
      </c>
      <c r="F44" t="s">
        <v>190</v>
      </c>
      <c r="G44" t="s">
        <v>238</v>
      </c>
      <c r="H44">
        <f>91-7514909066</f>
        <v>-7514908975</v>
      </c>
      <c r="I44" t="s">
        <v>18</v>
      </c>
      <c r="J44" t="s">
        <v>19</v>
      </c>
      <c r="K44" t="b">
        <v>1</v>
      </c>
    </row>
    <row r="45" spans="1:11" x14ac:dyDescent="0.3">
      <c r="A45" t="s">
        <v>239</v>
      </c>
      <c r="B45" t="s">
        <v>240</v>
      </c>
      <c r="C45" t="s">
        <v>236</v>
      </c>
      <c r="D45" t="s">
        <v>237</v>
      </c>
      <c r="E45" t="s">
        <v>241</v>
      </c>
      <c r="F45" t="s">
        <v>16</v>
      </c>
      <c r="G45" t="s">
        <v>242</v>
      </c>
      <c r="H45">
        <f>91-9660223333</f>
        <v>-9660223242</v>
      </c>
      <c r="I45" t="s">
        <v>97</v>
      </c>
      <c r="J45" t="s">
        <v>26</v>
      </c>
      <c r="K45" t="b">
        <v>1</v>
      </c>
    </row>
    <row r="46" spans="1:11" x14ac:dyDescent="0.3">
      <c r="A46" t="s">
        <v>243</v>
      </c>
      <c r="B46" t="s">
        <v>244</v>
      </c>
      <c r="C46" t="s">
        <v>245</v>
      </c>
      <c r="D46" t="s">
        <v>246</v>
      </c>
      <c r="E46" t="s">
        <v>22</v>
      </c>
      <c r="F46" t="s">
        <v>49</v>
      </c>
      <c r="G46" t="s">
        <v>247</v>
      </c>
      <c r="H46">
        <f>91-9823396242</f>
        <v>-9823396151</v>
      </c>
      <c r="I46" t="s">
        <v>18</v>
      </c>
      <c r="J46" t="s">
        <v>19</v>
      </c>
      <c r="K46" t="b">
        <v>1</v>
      </c>
    </row>
    <row r="47" spans="1:11" x14ac:dyDescent="0.3">
      <c r="A47" t="s">
        <v>248</v>
      </c>
      <c r="B47" t="s">
        <v>249</v>
      </c>
      <c r="C47" t="s">
        <v>245</v>
      </c>
      <c r="D47" t="s">
        <v>246</v>
      </c>
      <c r="E47" t="s">
        <v>214</v>
      </c>
      <c r="F47" t="s">
        <v>250</v>
      </c>
      <c r="G47" t="s">
        <v>251</v>
      </c>
      <c r="H47">
        <f>91-8119980130</f>
        <v>-8119980039</v>
      </c>
      <c r="I47" t="s">
        <v>63</v>
      </c>
      <c r="J47" t="s">
        <v>26</v>
      </c>
      <c r="K47" t="b">
        <v>1</v>
      </c>
    </row>
    <row r="48" spans="1:11" x14ac:dyDescent="0.3">
      <c r="A48" t="s">
        <v>252</v>
      </c>
      <c r="B48" t="s">
        <v>253</v>
      </c>
      <c r="C48" t="s">
        <v>254</v>
      </c>
      <c r="D48" t="s">
        <v>255</v>
      </c>
      <c r="E48" t="s">
        <v>256</v>
      </c>
      <c r="F48" t="s">
        <v>37</v>
      </c>
      <c r="G48" t="s">
        <v>257</v>
      </c>
      <c r="H48">
        <f>91-8349409434</f>
        <v>-8349409343</v>
      </c>
      <c r="I48" t="s">
        <v>18</v>
      </c>
      <c r="J48" t="s">
        <v>19</v>
      </c>
      <c r="K48" t="b">
        <v>1</v>
      </c>
    </row>
    <row r="49" spans="1:11" x14ac:dyDescent="0.3">
      <c r="A49" t="s">
        <v>258</v>
      </c>
      <c r="B49" t="s">
        <v>259</v>
      </c>
      <c r="C49" t="s">
        <v>254</v>
      </c>
      <c r="D49" t="s">
        <v>255</v>
      </c>
      <c r="E49" t="s">
        <v>80</v>
      </c>
      <c r="F49" t="s">
        <v>44</v>
      </c>
      <c r="G49" t="s">
        <v>260</v>
      </c>
      <c r="H49">
        <f>91-7562117925</f>
        <v>-7562117834</v>
      </c>
      <c r="I49" t="s">
        <v>25</v>
      </c>
      <c r="J49" t="s">
        <v>26</v>
      </c>
      <c r="K49" t="b">
        <v>1</v>
      </c>
    </row>
    <row r="50" spans="1:11" x14ac:dyDescent="0.3">
      <c r="A50" t="s">
        <v>261</v>
      </c>
      <c r="B50" t="s">
        <v>262</v>
      </c>
      <c r="C50" t="s">
        <v>263</v>
      </c>
      <c r="D50" t="s">
        <v>264</v>
      </c>
      <c r="E50" t="s">
        <v>265</v>
      </c>
      <c r="F50" t="s">
        <v>153</v>
      </c>
      <c r="G50" t="s">
        <v>266</v>
      </c>
      <c r="H50">
        <f>91-8357970698</f>
        <v>-8357970607</v>
      </c>
      <c r="I50" t="s">
        <v>18</v>
      </c>
      <c r="J50" t="s">
        <v>19</v>
      </c>
      <c r="K50" t="b">
        <v>1</v>
      </c>
    </row>
    <row r="51" spans="1:11" x14ac:dyDescent="0.3">
      <c r="A51" t="s">
        <v>267</v>
      </c>
      <c r="B51" t="s">
        <v>268</v>
      </c>
      <c r="C51" t="s">
        <v>263</v>
      </c>
      <c r="D51" t="s">
        <v>264</v>
      </c>
      <c r="E51" t="s">
        <v>31</v>
      </c>
      <c r="F51" t="s">
        <v>23</v>
      </c>
      <c r="G51" t="s">
        <v>269</v>
      </c>
      <c r="H51">
        <f>91-8968321319</f>
        <v>-8968321228</v>
      </c>
      <c r="I51" t="s">
        <v>97</v>
      </c>
      <c r="J51" t="s">
        <v>26</v>
      </c>
      <c r="K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sf_contacts_updated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 Magdum</cp:lastModifiedBy>
  <dcterms:created xsi:type="dcterms:W3CDTF">2026-04-07T08:37:41Z</dcterms:created>
  <dcterms:modified xsi:type="dcterms:W3CDTF">2026-04-07T08:37:41Z</dcterms:modified>
</cp:coreProperties>
</file>